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45" windowWidth="19875" windowHeight="7725" activeTab="1"/>
  </bookViews>
  <sheets>
    <sheet name="Layout" sheetId="1" r:id="rId1"/>
    <sheet name="Gerador de Texto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T3" i="2" l="1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L2" i="2"/>
  <c r="T2" i="2" s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" i="2"/>
  <c r="O2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" i="2"/>
  <c r="A3" i="2"/>
  <c r="A4" i="2"/>
  <c r="A5" i="2"/>
  <c r="A6" i="2"/>
  <c r="A7" i="2" s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" i="2"/>
  <c r="A22" i="2"/>
  <c r="B22" i="2" s="1"/>
  <c r="C22" i="2"/>
  <c r="D22" i="2"/>
  <c r="E22" i="2"/>
  <c r="F22" i="2"/>
  <c r="G22" i="2"/>
  <c r="A20" i="2"/>
  <c r="A21" i="2" s="1"/>
  <c r="B21" i="2" s="1"/>
  <c r="B20" i="2"/>
  <c r="C20" i="2"/>
  <c r="D20" i="2"/>
  <c r="E20" i="2"/>
  <c r="E21" i="2" s="1"/>
  <c r="F20" i="2"/>
  <c r="G20" i="2" s="1"/>
  <c r="C21" i="2"/>
  <c r="D21" i="2"/>
  <c r="A19" i="2"/>
  <c r="B19" i="2"/>
  <c r="C19" i="2"/>
  <c r="D19" i="2"/>
  <c r="E19" i="2"/>
  <c r="F19" i="2"/>
  <c r="G19" i="2"/>
  <c r="B5" i="2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D5" i="2"/>
  <c r="E5" i="2"/>
  <c r="F5" i="2"/>
  <c r="G5" i="2"/>
  <c r="D6" i="2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E6" i="2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F6" i="2"/>
  <c r="G6" i="2" s="1"/>
  <c r="G4" i="2"/>
  <c r="F4" i="2"/>
  <c r="E4" i="2"/>
  <c r="D4" i="2"/>
  <c r="C4" i="2"/>
  <c r="B4" i="2"/>
  <c r="D3" i="2"/>
  <c r="C3" i="2"/>
  <c r="D3" i="1"/>
  <c r="D4" i="1"/>
  <c r="D5" i="1"/>
  <c r="D6" i="1"/>
  <c r="D7" i="1"/>
  <c r="D8" i="1"/>
  <c r="D2" i="1"/>
  <c r="F21" i="2" l="1"/>
  <c r="G21" i="2" s="1"/>
  <c r="F7" i="2"/>
  <c r="F8" i="2" l="1"/>
  <c r="G7" i="2"/>
  <c r="B6" i="2"/>
  <c r="F9" i="2" l="1"/>
  <c r="G8" i="2"/>
  <c r="A8" i="2"/>
  <c r="B7" i="2"/>
  <c r="B8" i="2" l="1"/>
  <c r="A9" i="2"/>
  <c r="G9" i="2"/>
  <c r="F10" i="2"/>
  <c r="G10" i="2" l="1"/>
  <c r="F11" i="2"/>
  <c r="B9" i="2"/>
  <c r="A10" i="2"/>
  <c r="A11" i="2" l="1"/>
  <c r="B10" i="2"/>
  <c r="F12" i="2"/>
  <c r="G11" i="2"/>
  <c r="A12" i="2" l="1"/>
  <c r="B11" i="2"/>
  <c r="F13" i="2"/>
  <c r="G12" i="2"/>
  <c r="B12" i="2" l="1"/>
  <c r="A13" i="2"/>
  <c r="G13" i="2"/>
  <c r="F14" i="2"/>
  <c r="G14" i="2" l="1"/>
  <c r="F15" i="2"/>
  <c r="B13" i="2"/>
  <c r="A14" i="2"/>
  <c r="A15" i="2" l="1"/>
  <c r="B14" i="2"/>
  <c r="F16" i="2"/>
  <c r="G15" i="2"/>
  <c r="A16" i="2" l="1"/>
  <c r="B15" i="2"/>
  <c r="F17" i="2"/>
  <c r="G16" i="2"/>
  <c r="B16" i="2" l="1"/>
  <c r="A17" i="2"/>
  <c r="G17" i="2"/>
  <c r="F18" i="2"/>
  <c r="G18" i="2" s="1"/>
  <c r="B17" i="2" l="1"/>
  <c r="A18" i="2"/>
  <c r="B18" i="2" s="1"/>
</calcChain>
</file>

<file path=xl/sharedStrings.xml><?xml version="1.0" encoding="utf-8"?>
<sst xmlns="http://schemas.openxmlformats.org/spreadsheetml/2006/main" count="29" uniqueCount="14">
  <si>
    <t>Descrição</t>
  </si>
  <si>
    <t>Descrição do Campo</t>
  </si>
  <si>
    <t>Posição inicial</t>
  </si>
  <si>
    <t>Posição Final</t>
  </si>
  <si>
    <t>Quant Caracteres</t>
  </si>
  <si>
    <t>Item</t>
  </si>
  <si>
    <t>Código</t>
  </si>
  <si>
    <t>Número Serial</t>
  </si>
  <si>
    <t>Preço de Venda</t>
  </si>
  <si>
    <t>Cor</t>
  </si>
  <si>
    <t>Modelo</t>
  </si>
  <si>
    <t>PenDrive</t>
  </si>
  <si>
    <t>USBDisc32</t>
  </si>
  <si>
    <t>USBDisc16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</si>
</sst>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A2" sqref="A2:A8"/>
    </sheetView>
  </sheetViews>
  <sheetFormatPr defaultRowHeight="15" x14ac:dyDescent="0.25"/>
  <cols>
    <col min="1" max="5" width="21" customWidth="1"/>
  </cols>
  <sheetData>
    <row r="1" spans="1:4" x14ac:dyDescent="0.25">
      <c r="A1" s="1" t="s">
        <v>1</v>
      </c>
      <c r="B1" s="1" t="s">
        <v>2</v>
      </c>
      <c r="C1" s="1" t="s">
        <v>3</v>
      </c>
      <c r="D1" s="1" t="s">
        <v>4</v>
      </c>
    </row>
    <row r="2" spans="1:4" x14ac:dyDescent="0.25">
      <c r="A2" t="s">
        <v>5</v>
      </c>
      <c r="B2">
        <v>1</v>
      </c>
      <c r="C2">
        <v>3</v>
      </c>
      <c r="D2">
        <f>C2-B2+1</f>
        <v>3</v>
      </c>
    </row>
    <row r="3" spans="1:4" x14ac:dyDescent="0.25">
      <c r="A3" t="s">
        <v>0</v>
      </c>
      <c r="B3">
        <v>4</v>
      </c>
      <c r="C3">
        <v>33</v>
      </c>
      <c r="D3">
        <f t="shared" ref="D3:D8" si="0">C3-B3+1</f>
        <v>30</v>
      </c>
    </row>
    <row r="4" spans="1:4" x14ac:dyDescent="0.25">
      <c r="A4" t="s">
        <v>6</v>
      </c>
      <c r="B4">
        <v>34</v>
      </c>
      <c r="C4">
        <v>41</v>
      </c>
      <c r="D4">
        <f t="shared" si="0"/>
        <v>8</v>
      </c>
    </row>
    <row r="5" spans="1:4" x14ac:dyDescent="0.25">
      <c r="A5" t="s">
        <v>7</v>
      </c>
      <c r="B5">
        <v>42</v>
      </c>
      <c r="C5">
        <v>51</v>
      </c>
      <c r="D5">
        <f t="shared" si="0"/>
        <v>10</v>
      </c>
    </row>
    <row r="6" spans="1:4" x14ac:dyDescent="0.25">
      <c r="A6" t="s">
        <v>8</v>
      </c>
      <c r="B6">
        <v>52</v>
      </c>
      <c r="C6">
        <v>66</v>
      </c>
      <c r="D6">
        <f t="shared" si="0"/>
        <v>15</v>
      </c>
    </row>
    <row r="7" spans="1:4" x14ac:dyDescent="0.25">
      <c r="A7" t="s">
        <v>9</v>
      </c>
      <c r="B7">
        <v>67</v>
      </c>
      <c r="C7">
        <v>71</v>
      </c>
      <c r="D7">
        <f t="shared" si="0"/>
        <v>5</v>
      </c>
    </row>
    <row r="8" spans="1:4" x14ac:dyDescent="0.25">
      <c r="A8" t="s">
        <v>10</v>
      </c>
      <c r="B8">
        <v>72</v>
      </c>
      <c r="C8">
        <v>101</v>
      </c>
      <c r="D8">
        <f t="shared" si="0"/>
        <v>30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3"/>
  <sheetViews>
    <sheetView tabSelected="1" topLeftCell="O1" zoomScale="85" zoomScaleNormal="85" workbookViewId="0">
      <selection activeCell="O1" sqref="O1"/>
    </sheetView>
  </sheetViews>
  <sheetFormatPr defaultRowHeight="15" x14ac:dyDescent="0.25"/>
  <cols>
    <col min="2" max="2" width="14" customWidth="1"/>
    <col min="4" max="4" width="13" customWidth="1"/>
    <col min="5" max="5" width="15" bestFit="1" customWidth="1"/>
    <col min="11" max="11" width="5.5703125" bestFit="1" customWidth="1"/>
    <col min="12" max="12" width="25.5703125" customWidth="1"/>
    <col min="13" max="13" width="12.140625" bestFit="1" customWidth="1"/>
    <col min="14" max="14" width="13.85546875" bestFit="1" customWidth="1"/>
    <col min="15" max="15" width="16.140625" bestFit="1" customWidth="1"/>
    <col min="16" max="16" width="9" customWidth="1"/>
    <col min="17" max="17" width="36.42578125" customWidth="1"/>
    <col min="20" max="20" width="135.42578125" bestFit="1" customWidth="1"/>
  </cols>
  <sheetData>
    <row r="1" spans="1:20" x14ac:dyDescent="0.25">
      <c r="A1" t="s">
        <v>5</v>
      </c>
      <c r="B1" t="s">
        <v>0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K1" t="s">
        <v>5</v>
      </c>
      <c r="L1" t="s">
        <v>0</v>
      </c>
      <c r="M1" t="s">
        <v>6</v>
      </c>
      <c r="N1" t="s">
        <v>7</v>
      </c>
      <c r="O1" t="s">
        <v>8</v>
      </c>
      <c r="P1" t="s">
        <v>9</v>
      </c>
      <c r="Q1" t="s">
        <v>10</v>
      </c>
    </row>
    <row r="2" spans="1:20" x14ac:dyDescent="0.25">
      <c r="A2">
        <v>1</v>
      </c>
      <c r="B2" t="s">
        <v>11</v>
      </c>
      <c r="C2">
        <v>1</v>
      </c>
      <c r="D2">
        <v>1299922232</v>
      </c>
      <c r="E2">
        <v>88.88</v>
      </c>
      <c r="F2">
        <v>23</v>
      </c>
      <c r="G2" t="s">
        <v>12</v>
      </c>
      <c r="K2" s="2" t="str">
        <f>REPT("0",Layout!$D$2-LEN('Gerador de Texto'!A2))&amp;A2</f>
        <v>001</v>
      </c>
      <c r="L2" s="2" t="str">
        <f>REPT(" ",Layout!$D$3-LEN('Gerador de Texto'!B2))&amp;B2</f>
        <v xml:space="preserve">                      PenDrive</v>
      </c>
      <c r="M2" s="2" t="str">
        <f>REPT("0",Layout!$D$4-LEN(C2))&amp;C2</f>
        <v>00000001</v>
      </c>
      <c r="N2" s="2" t="str">
        <f>REPT("0",Layout!$D$5-LEN('Gerador de Texto'!D2))&amp;D2</f>
        <v>1299922232</v>
      </c>
      <c r="O2" s="2" t="str">
        <f>REPT("0",Layout!D$6-LEN('Gerador de Texto'!E2*100))&amp;E2*100</f>
        <v>000000000008888</v>
      </c>
      <c r="P2" s="2" t="str">
        <f>REPT("0",Layout!$D$7-LEN('Gerador de Texto'!F2))&amp;'Gerador de Texto'!F2</f>
        <v>00023</v>
      </c>
      <c r="Q2" s="2" t="str">
        <f>REPT(" ",Layout!$D$8-LEN('Gerador de Texto'!G2))&amp;'Gerador de Texto'!G2</f>
        <v xml:space="preserve">                     USBDisc32</v>
      </c>
      <c r="R2" s="2"/>
      <c r="T2" s="3" t="str">
        <f>CONCATENATE(K2,L2,M2,N2,O2,P2,Q2,)</f>
        <v>001                      PenDrive00000001129992223200000000000888800023                     USBDisc32</v>
      </c>
    </row>
    <row r="3" spans="1:20" x14ac:dyDescent="0.25">
      <c r="A3">
        <f>A2+1</f>
        <v>2</v>
      </c>
      <c r="B3" t="s">
        <v>11</v>
      </c>
      <c r="C3">
        <f>C2+1</f>
        <v>2</v>
      </c>
      <c r="D3">
        <f>D2+1</f>
        <v>1299922233</v>
      </c>
      <c r="E3">
        <v>38.89</v>
      </c>
      <c r="F3">
        <v>24</v>
      </c>
      <c r="G3" t="s">
        <v>13</v>
      </c>
      <c r="K3" s="2" t="str">
        <f>REPT("0",Layout!$D$2-LEN('Gerador de Texto'!A3))&amp;A3</f>
        <v>002</v>
      </c>
      <c r="L3" s="2" t="str">
        <f>REPT(" ",Layout!$D$3-LEN('Gerador de Texto'!B3))&amp;B3</f>
        <v xml:space="preserve">                      PenDrive</v>
      </c>
      <c r="M3" s="2" t="str">
        <f>REPT("0",Layout!$D$4-LEN(C3))&amp;C3</f>
        <v>00000002</v>
      </c>
      <c r="N3" s="2" t="str">
        <f>REPT("0",Layout!$D$5-LEN('Gerador de Texto'!D3))&amp;D3</f>
        <v>1299922233</v>
      </c>
      <c r="O3" s="2" t="str">
        <f>REPT("0",Layout!D$6-LEN('Gerador de Texto'!E3*100))&amp;E3*100</f>
        <v>000000000003889</v>
      </c>
      <c r="P3" s="2" t="str">
        <f>REPT("0",Layout!$D$7-LEN('Gerador de Texto'!F3))&amp;'Gerador de Texto'!F3</f>
        <v>00024</v>
      </c>
      <c r="Q3" s="2" t="str">
        <f>REPT(" ",Layout!$D$8-LEN('Gerador de Texto'!G3))&amp;'Gerador de Texto'!G3</f>
        <v xml:space="preserve">                     USBDisc16</v>
      </c>
      <c r="R3" s="2"/>
      <c r="T3" s="3" t="str">
        <f>CONCATENATE(K3,L3,M3,N3,O3,P3,Q3,)</f>
        <v>002                      PenDrive00000002129992223300000000000388900024                     USBDisc16</v>
      </c>
    </row>
    <row r="4" spans="1:20" x14ac:dyDescent="0.25">
      <c r="A4">
        <f>A3+1</f>
        <v>3</v>
      </c>
      <c r="B4" t="str">
        <f>"Produto X" &amp; A4</f>
        <v>Produto X3</v>
      </c>
      <c r="C4">
        <f>C3+1</f>
        <v>3</v>
      </c>
      <c r="D4">
        <f>D3+1</f>
        <v>1299922234</v>
      </c>
      <c r="E4">
        <f>E3+1</f>
        <v>39.89</v>
      </c>
      <c r="F4">
        <f>F3+1</f>
        <v>25</v>
      </c>
      <c r="G4" t="str">
        <f>"Produto X"&amp;F4</f>
        <v>Produto X25</v>
      </c>
      <c r="K4" s="2" t="str">
        <f>REPT("0",Layout!$D$2-LEN('Gerador de Texto'!A4))&amp;A4</f>
        <v>003</v>
      </c>
      <c r="L4" s="2" t="str">
        <f>REPT(" ",Layout!$D$3-LEN('Gerador de Texto'!B4))&amp;B4</f>
        <v xml:space="preserve">                    Produto X3</v>
      </c>
      <c r="M4" s="2" t="str">
        <f>REPT("0",Layout!$D$4-LEN(C4))&amp;C4</f>
        <v>00000003</v>
      </c>
      <c r="N4" s="2" t="str">
        <f>REPT("0",Layout!$D$5-LEN('Gerador de Texto'!D4))&amp;D4</f>
        <v>1299922234</v>
      </c>
      <c r="O4" s="2" t="str">
        <f>REPT("0",Layout!D$6-LEN('Gerador de Texto'!E4*100))&amp;E4*100</f>
        <v>000000000003989</v>
      </c>
      <c r="P4" s="2" t="str">
        <f>REPT("0",Layout!$D$7-LEN('Gerador de Texto'!F4))&amp;'Gerador de Texto'!F4</f>
        <v>00025</v>
      </c>
      <c r="Q4" s="2" t="str">
        <f>REPT(" ",Layout!$D$8-LEN('Gerador de Texto'!G4))&amp;'Gerador de Texto'!G4</f>
        <v xml:space="preserve">                   Produto X25</v>
      </c>
      <c r="R4" s="2"/>
      <c r="T4" s="3" t="str">
        <f t="shared" ref="T3:T22" si="0">CONCATENATE(K4,L4,M4,N4,O4,P4,Q4,)</f>
        <v>003                    Produto X300000003129992223400000000000398900025                   Produto X25</v>
      </c>
    </row>
    <row r="5" spans="1:20" x14ac:dyDescent="0.25">
      <c r="A5">
        <f t="shared" ref="A5:A18" si="1">A4+1</f>
        <v>4</v>
      </c>
      <c r="B5" t="str">
        <f t="shared" ref="B5:B18" si="2">"Produto X" &amp; A5</f>
        <v>Produto X4</v>
      </c>
      <c r="C5">
        <f t="shared" ref="C5:C18" si="3">C4+1</f>
        <v>4</v>
      </c>
      <c r="D5">
        <f t="shared" ref="D5:D18" si="4">D4+1</f>
        <v>1299922235</v>
      </c>
      <c r="E5">
        <f t="shared" ref="E5:E18" si="5">E4+1</f>
        <v>40.89</v>
      </c>
      <c r="F5">
        <f t="shared" ref="F5:F18" si="6">F4+1</f>
        <v>26</v>
      </c>
      <c r="G5" t="str">
        <f t="shared" ref="G5:G18" si="7">"Produto X"&amp;F5</f>
        <v>Produto X26</v>
      </c>
      <c r="K5" s="2" t="str">
        <f>REPT("0",Layout!$D$2-LEN('Gerador de Texto'!A5))&amp;A5</f>
        <v>004</v>
      </c>
      <c r="L5" s="2" t="str">
        <f>REPT(" ",Layout!$D$3-LEN('Gerador de Texto'!B5))&amp;B5</f>
        <v xml:space="preserve">                    Produto X4</v>
      </c>
      <c r="M5" s="2" t="str">
        <f>REPT("0",Layout!$D$4-LEN(C5))&amp;C5</f>
        <v>00000004</v>
      </c>
      <c r="N5" s="2" t="str">
        <f>REPT("0",Layout!$D$5-LEN('Gerador de Texto'!D5))&amp;D5</f>
        <v>1299922235</v>
      </c>
      <c r="O5" s="2" t="str">
        <f>REPT("0",Layout!D$6-LEN('Gerador de Texto'!E5*100))&amp;E5*100</f>
        <v>000000000004089</v>
      </c>
      <c r="P5" s="2" t="str">
        <f>REPT("0",Layout!$D$7-LEN('Gerador de Texto'!F5))&amp;'Gerador de Texto'!F5</f>
        <v>00026</v>
      </c>
      <c r="Q5" s="2" t="str">
        <f>REPT(" ",Layout!$D$8-LEN('Gerador de Texto'!G5))&amp;'Gerador de Texto'!G5</f>
        <v xml:space="preserve">                   Produto X26</v>
      </c>
      <c r="R5" s="2"/>
      <c r="T5" s="3" t="str">
        <f t="shared" si="0"/>
        <v>004                    Produto X400000004129992223500000000000408900026                   Produto X26</v>
      </c>
    </row>
    <row r="6" spans="1:20" x14ac:dyDescent="0.25">
      <c r="A6">
        <f t="shared" si="1"/>
        <v>5</v>
      </c>
      <c r="B6" t="str">
        <f t="shared" si="2"/>
        <v>Produto X5</v>
      </c>
      <c r="C6">
        <f t="shared" si="3"/>
        <v>5</v>
      </c>
      <c r="D6">
        <f t="shared" si="4"/>
        <v>1299922236</v>
      </c>
      <c r="E6">
        <f t="shared" si="5"/>
        <v>41.89</v>
      </c>
      <c r="F6">
        <f t="shared" si="6"/>
        <v>27</v>
      </c>
      <c r="G6" t="str">
        <f t="shared" si="7"/>
        <v>Produto X27</v>
      </c>
      <c r="K6" s="2" t="str">
        <f>REPT("0",Layout!$D$2-LEN('Gerador de Texto'!A6))&amp;A6</f>
        <v>005</v>
      </c>
      <c r="L6" s="2" t="str">
        <f>REPT(" ",Layout!$D$3-LEN('Gerador de Texto'!B6))&amp;B6</f>
        <v xml:space="preserve">                    Produto X5</v>
      </c>
      <c r="M6" s="2" t="str">
        <f>REPT("0",Layout!$D$4-LEN(C6))&amp;C6</f>
        <v>00000005</v>
      </c>
      <c r="N6" s="2" t="str">
        <f>REPT("0",Layout!$D$5-LEN('Gerador de Texto'!D6))&amp;D6</f>
        <v>1299922236</v>
      </c>
      <c r="O6" s="2" t="str">
        <f>REPT("0",Layout!D$6-LEN('Gerador de Texto'!E6*100))&amp;E6*100</f>
        <v>000000000004189</v>
      </c>
      <c r="P6" s="2" t="str">
        <f>REPT("0",Layout!$D$7-LEN('Gerador de Texto'!F6))&amp;'Gerador de Texto'!F6</f>
        <v>00027</v>
      </c>
      <c r="Q6" s="2" t="str">
        <f>REPT(" ",Layout!$D$8-LEN('Gerador de Texto'!G6))&amp;'Gerador de Texto'!G6</f>
        <v xml:space="preserve">                   Produto X27</v>
      </c>
      <c r="R6" s="2"/>
      <c r="T6" s="3" t="str">
        <f t="shared" si="0"/>
        <v>005                    Produto X500000005129992223600000000000418900027                   Produto X27</v>
      </c>
    </row>
    <row r="7" spans="1:20" x14ac:dyDescent="0.25">
      <c r="A7">
        <f t="shared" si="1"/>
        <v>6</v>
      </c>
      <c r="B7" t="str">
        <f t="shared" si="2"/>
        <v>Produto X6</v>
      </c>
      <c r="C7">
        <f t="shared" si="3"/>
        <v>6</v>
      </c>
      <c r="D7">
        <f t="shared" si="4"/>
        <v>1299922237</v>
      </c>
      <c r="E7">
        <f t="shared" si="5"/>
        <v>42.89</v>
      </c>
      <c r="F7">
        <f t="shared" si="6"/>
        <v>28</v>
      </c>
      <c r="G7" t="str">
        <f t="shared" si="7"/>
        <v>Produto X28</v>
      </c>
      <c r="K7" s="2" t="str">
        <f>REPT("0",Layout!$D$2-LEN('Gerador de Texto'!A7))&amp;A7</f>
        <v>006</v>
      </c>
      <c r="L7" s="2" t="str">
        <f>REPT(" ",Layout!$D$3-LEN('Gerador de Texto'!B7))&amp;B7</f>
        <v xml:space="preserve">                    Produto X6</v>
      </c>
      <c r="M7" s="2" t="str">
        <f>REPT("0",Layout!$D$4-LEN(C7))&amp;C7</f>
        <v>00000006</v>
      </c>
      <c r="N7" s="2" t="str">
        <f>REPT("0",Layout!$D$5-LEN('Gerador de Texto'!D7))&amp;D7</f>
        <v>1299922237</v>
      </c>
      <c r="O7" s="2" t="str">
        <f>REPT("0",Layout!D$6-LEN('Gerador de Texto'!E7*100))&amp;E7*100</f>
        <v>000000000004289</v>
      </c>
      <c r="P7" s="2" t="str">
        <f>REPT("0",Layout!$D$7-LEN('Gerador de Texto'!F7))&amp;'Gerador de Texto'!F7</f>
        <v>00028</v>
      </c>
      <c r="Q7" s="2" t="str">
        <f>REPT(" ",Layout!$D$8-LEN('Gerador de Texto'!G7))&amp;'Gerador de Texto'!G7</f>
        <v xml:space="preserve">                   Produto X28</v>
      </c>
      <c r="R7" s="2"/>
      <c r="T7" s="3" t="str">
        <f t="shared" si="0"/>
        <v>006                    Produto X600000006129992223700000000000428900028                   Produto X28</v>
      </c>
    </row>
    <row r="8" spans="1:20" x14ac:dyDescent="0.25">
      <c r="A8">
        <f t="shared" si="1"/>
        <v>7</v>
      </c>
      <c r="B8" t="str">
        <f t="shared" si="2"/>
        <v>Produto X7</v>
      </c>
      <c r="C8">
        <f t="shared" si="3"/>
        <v>7</v>
      </c>
      <c r="D8">
        <f t="shared" si="4"/>
        <v>1299922238</v>
      </c>
      <c r="E8">
        <f t="shared" si="5"/>
        <v>43.89</v>
      </c>
      <c r="F8">
        <f t="shared" si="6"/>
        <v>29</v>
      </c>
      <c r="G8" t="str">
        <f t="shared" si="7"/>
        <v>Produto X29</v>
      </c>
      <c r="K8" s="2" t="str">
        <f>REPT("0",Layout!$D$2-LEN('Gerador de Texto'!A8))&amp;A8</f>
        <v>007</v>
      </c>
      <c r="L8" s="2" t="str">
        <f>REPT(" ",Layout!$D$3-LEN('Gerador de Texto'!B8))&amp;B8</f>
        <v xml:space="preserve">                    Produto X7</v>
      </c>
      <c r="M8" s="2" t="str">
        <f>REPT("0",Layout!$D$4-LEN(C8))&amp;C8</f>
        <v>00000007</v>
      </c>
      <c r="N8" s="2" t="str">
        <f>REPT("0",Layout!$D$5-LEN('Gerador de Texto'!D8))&amp;D8</f>
        <v>1299922238</v>
      </c>
      <c r="O8" s="2" t="str">
        <f>REPT("0",Layout!D$6-LEN('Gerador de Texto'!E8*100))&amp;E8*100</f>
        <v>000000000004389</v>
      </c>
      <c r="P8" s="2" t="str">
        <f>REPT("0",Layout!$D$7-LEN('Gerador de Texto'!F8))&amp;'Gerador de Texto'!F8</f>
        <v>00029</v>
      </c>
      <c r="Q8" s="2" t="str">
        <f>REPT(" ",Layout!$D$8-LEN('Gerador de Texto'!G8))&amp;'Gerador de Texto'!G8</f>
        <v xml:space="preserve">                   Produto X29</v>
      </c>
      <c r="R8" s="2"/>
      <c r="T8" s="3" t="str">
        <f t="shared" si="0"/>
        <v>007                    Produto X700000007129992223800000000000438900029                   Produto X29</v>
      </c>
    </row>
    <row r="9" spans="1:20" x14ac:dyDescent="0.25">
      <c r="A9">
        <f t="shared" si="1"/>
        <v>8</v>
      </c>
      <c r="B9" t="str">
        <f t="shared" si="2"/>
        <v>Produto X8</v>
      </c>
      <c r="C9">
        <f t="shared" si="3"/>
        <v>8</v>
      </c>
      <c r="D9">
        <f t="shared" si="4"/>
        <v>1299922239</v>
      </c>
      <c r="E9">
        <f t="shared" si="5"/>
        <v>44.89</v>
      </c>
      <c r="F9">
        <f t="shared" si="6"/>
        <v>30</v>
      </c>
      <c r="G9" t="str">
        <f t="shared" si="7"/>
        <v>Produto X30</v>
      </c>
      <c r="K9" s="2" t="str">
        <f>REPT("0",Layout!$D$2-LEN('Gerador de Texto'!A9))&amp;A9</f>
        <v>008</v>
      </c>
      <c r="L9" s="2" t="str">
        <f>REPT(" ",Layout!$D$3-LEN('Gerador de Texto'!B9))&amp;B9</f>
        <v xml:space="preserve">                    Produto X8</v>
      </c>
      <c r="M9" s="2" t="str">
        <f>REPT("0",Layout!$D$4-LEN(C9))&amp;C9</f>
        <v>00000008</v>
      </c>
      <c r="N9" s="2" t="str">
        <f>REPT("0",Layout!$D$5-LEN('Gerador de Texto'!D9))&amp;D9</f>
        <v>1299922239</v>
      </c>
      <c r="O9" s="2" t="str">
        <f>REPT("0",Layout!D$6-LEN('Gerador de Texto'!E9*100))&amp;E9*100</f>
        <v>000000000004489</v>
      </c>
      <c r="P9" s="2" t="str">
        <f>REPT("0",Layout!$D$7-LEN('Gerador de Texto'!F9))&amp;'Gerador de Texto'!F9</f>
        <v>00030</v>
      </c>
      <c r="Q9" s="2" t="str">
        <f>REPT(" ",Layout!$D$8-LEN('Gerador de Texto'!G9))&amp;'Gerador de Texto'!G9</f>
        <v xml:space="preserve">                   Produto X30</v>
      </c>
      <c r="R9" s="2"/>
      <c r="T9" s="3" t="str">
        <f t="shared" si="0"/>
        <v>008                    Produto X800000008129992223900000000000448900030                   Produto X30</v>
      </c>
    </row>
    <row r="10" spans="1:20" x14ac:dyDescent="0.25">
      <c r="A10">
        <f t="shared" si="1"/>
        <v>9</v>
      </c>
      <c r="B10" t="str">
        <f t="shared" si="2"/>
        <v>Produto X9</v>
      </c>
      <c r="C10">
        <f t="shared" si="3"/>
        <v>9</v>
      </c>
      <c r="D10">
        <f t="shared" si="4"/>
        <v>1299922240</v>
      </c>
      <c r="E10">
        <f t="shared" si="5"/>
        <v>45.89</v>
      </c>
      <c r="F10">
        <f t="shared" si="6"/>
        <v>31</v>
      </c>
      <c r="G10" t="str">
        <f t="shared" si="7"/>
        <v>Produto X31</v>
      </c>
      <c r="K10" s="2" t="str">
        <f>REPT("0",Layout!$D$2-LEN('Gerador de Texto'!A10))&amp;A10</f>
        <v>009</v>
      </c>
      <c r="L10" s="2" t="str">
        <f>REPT(" ",Layout!$D$3-LEN('Gerador de Texto'!B10))&amp;B10</f>
        <v xml:space="preserve">                    Produto X9</v>
      </c>
      <c r="M10" s="2" t="str">
        <f>REPT("0",Layout!$D$4-LEN(C10))&amp;C10</f>
        <v>00000009</v>
      </c>
      <c r="N10" s="2" t="str">
        <f>REPT("0",Layout!$D$5-LEN('Gerador de Texto'!D10))&amp;D10</f>
        <v>1299922240</v>
      </c>
      <c r="O10" s="2" t="str">
        <f>REPT("0",Layout!D$6-LEN('Gerador de Texto'!E10*100))&amp;E10*100</f>
        <v>000000000004589</v>
      </c>
      <c r="P10" s="2" t="str">
        <f>REPT("0",Layout!$D$7-LEN('Gerador de Texto'!F10))&amp;'Gerador de Texto'!F10</f>
        <v>00031</v>
      </c>
      <c r="Q10" s="2" t="str">
        <f>REPT(" ",Layout!$D$8-LEN('Gerador de Texto'!G10))&amp;'Gerador de Texto'!G10</f>
        <v xml:space="preserve">                   Produto X31</v>
      </c>
      <c r="R10" s="2"/>
      <c r="T10" s="3" t="str">
        <f t="shared" si="0"/>
        <v>009                    Produto X900000009129992224000000000000458900031                   Produto X31</v>
      </c>
    </row>
    <row r="11" spans="1:20" x14ac:dyDescent="0.25">
      <c r="A11">
        <f t="shared" si="1"/>
        <v>10</v>
      </c>
      <c r="B11" t="str">
        <f t="shared" si="2"/>
        <v>Produto X10</v>
      </c>
      <c r="C11">
        <f t="shared" si="3"/>
        <v>10</v>
      </c>
      <c r="D11">
        <f t="shared" si="4"/>
        <v>1299922241</v>
      </c>
      <c r="E11">
        <f t="shared" si="5"/>
        <v>46.89</v>
      </c>
      <c r="F11">
        <f t="shared" si="6"/>
        <v>32</v>
      </c>
      <c r="G11" t="str">
        <f t="shared" si="7"/>
        <v>Produto X32</v>
      </c>
      <c r="K11" s="2" t="str">
        <f>REPT("0",Layout!$D$2-LEN('Gerador de Texto'!A11))&amp;A11</f>
        <v>010</v>
      </c>
      <c r="L11" s="2" t="str">
        <f>REPT(" ",Layout!$D$3-LEN('Gerador de Texto'!B11))&amp;B11</f>
        <v xml:space="preserve">                   Produto X10</v>
      </c>
      <c r="M11" s="2" t="str">
        <f>REPT("0",Layout!$D$4-LEN(C11))&amp;C11</f>
        <v>00000010</v>
      </c>
      <c r="N11" s="2" t="str">
        <f>REPT("0",Layout!$D$5-LEN('Gerador de Texto'!D11))&amp;D11</f>
        <v>1299922241</v>
      </c>
      <c r="O11" s="2" t="str">
        <f>REPT("0",Layout!D$6-LEN('Gerador de Texto'!E11*100))&amp;E11*100</f>
        <v>000000000004689</v>
      </c>
      <c r="P11" s="2" t="str">
        <f>REPT("0",Layout!$D$7-LEN('Gerador de Texto'!F11))&amp;'Gerador de Texto'!F11</f>
        <v>00032</v>
      </c>
      <c r="Q11" s="2" t="str">
        <f>REPT(" ",Layout!$D$8-LEN('Gerador de Texto'!G11))&amp;'Gerador de Texto'!G11</f>
        <v xml:space="preserve">                   Produto X32</v>
      </c>
      <c r="R11" s="2"/>
      <c r="T11" s="3" t="str">
        <f t="shared" si="0"/>
        <v>010                   Produto X1000000010129992224100000000000468900032                   Produto X32</v>
      </c>
    </row>
    <row r="12" spans="1:20" x14ac:dyDescent="0.25">
      <c r="A12">
        <f t="shared" si="1"/>
        <v>11</v>
      </c>
      <c r="B12" t="str">
        <f t="shared" si="2"/>
        <v>Produto X11</v>
      </c>
      <c r="C12">
        <f t="shared" si="3"/>
        <v>11</v>
      </c>
      <c r="D12">
        <f t="shared" si="4"/>
        <v>1299922242</v>
      </c>
      <c r="E12">
        <f t="shared" si="5"/>
        <v>47.89</v>
      </c>
      <c r="F12">
        <f t="shared" si="6"/>
        <v>33</v>
      </c>
      <c r="G12" t="str">
        <f t="shared" si="7"/>
        <v>Produto X33</v>
      </c>
      <c r="K12" s="2" t="str">
        <f>REPT("0",Layout!$D$2-LEN('Gerador de Texto'!A12))&amp;A12</f>
        <v>011</v>
      </c>
      <c r="L12" s="2" t="str">
        <f>REPT(" ",Layout!$D$3-LEN('Gerador de Texto'!B12))&amp;B12</f>
        <v xml:space="preserve">                   Produto X11</v>
      </c>
      <c r="M12" s="2" t="str">
        <f>REPT("0",Layout!$D$4-LEN(C12))&amp;C12</f>
        <v>00000011</v>
      </c>
      <c r="N12" s="2" t="str">
        <f>REPT("0",Layout!$D$5-LEN('Gerador de Texto'!D12))&amp;D12</f>
        <v>1299922242</v>
      </c>
      <c r="O12" s="2" t="str">
        <f>REPT("0",Layout!D$6-LEN('Gerador de Texto'!E12*100))&amp;E12*100</f>
        <v>000000000004789</v>
      </c>
      <c r="P12" s="2" t="str">
        <f>REPT("0",Layout!$D$7-LEN('Gerador de Texto'!F12))&amp;'Gerador de Texto'!F12</f>
        <v>00033</v>
      </c>
      <c r="Q12" s="2" t="str">
        <f>REPT(" ",Layout!$D$8-LEN('Gerador de Texto'!G12))&amp;'Gerador de Texto'!G12</f>
        <v xml:space="preserve">                   Produto X33</v>
      </c>
      <c r="R12" s="2"/>
      <c r="T12" s="3" t="str">
        <f t="shared" si="0"/>
        <v>011                   Produto X1100000011129992224200000000000478900033                   Produto X33</v>
      </c>
    </row>
    <row r="13" spans="1:20" x14ac:dyDescent="0.25">
      <c r="A13">
        <f t="shared" si="1"/>
        <v>12</v>
      </c>
      <c r="B13" t="str">
        <f t="shared" si="2"/>
        <v>Produto X12</v>
      </c>
      <c r="C13">
        <f t="shared" si="3"/>
        <v>12</v>
      </c>
      <c r="D13">
        <f t="shared" si="4"/>
        <v>1299922243</v>
      </c>
      <c r="E13">
        <f t="shared" si="5"/>
        <v>48.89</v>
      </c>
      <c r="F13">
        <f t="shared" si="6"/>
        <v>34</v>
      </c>
      <c r="G13" t="str">
        <f t="shared" si="7"/>
        <v>Produto X34</v>
      </c>
      <c r="K13" s="2" t="str">
        <f>REPT("0",Layout!$D$2-LEN('Gerador de Texto'!A13))&amp;A13</f>
        <v>012</v>
      </c>
      <c r="L13" s="2" t="str">
        <f>REPT(" ",Layout!$D$3-LEN('Gerador de Texto'!B13))&amp;B13</f>
        <v xml:space="preserve">                   Produto X12</v>
      </c>
      <c r="M13" s="2" t="str">
        <f>REPT("0",Layout!$D$4-LEN(C13))&amp;C13</f>
        <v>00000012</v>
      </c>
      <c r="N13" s="2" t="str">
        <f>REPT("0",Layout!$D$5-LEN('Gerador de Texto'!D13))&amp;D13</f>
        <v>1299922243</v>
      </c>
      <c r="O13" s="2" t="str">
        <f>REPT("0",Layout!D$6-LEN('Gerador de Texto'!E13*100))&amp;E13*100</f>
        <v>000000000004889</v>
      </c>
      <c r="P13" s="2" t="str">
        <f>REPT("0",Layout!$D$7-LEN('Gerador de Texto'!F13))&amp;'Gerador de Texto'!F13</f>
        <v>00034</v>
      </c>
      <c r="Q13" s="2" t="str">
        <f>REPT(" ",Layout!$D$8-LEN('Gerador de Texto'!G13))&amp;'Gerador de Texto'!G13</f>
        <v xml:space="preserve">                   Produto X34</v>
      </c>
      <c r="R13" s="2"/>
      <c r="T13" s="3" t="str">
        <f t="shared" si="0"/>
        <v>012                   Produto X1200000012129992224300000000000488900034                   Produto X34</v>
      </c>
    </row>
    <row r="14" spans="1:20" x14ac:dyDescent="0.25">
      <c r="A14">
        <f t="shared" si="1"/>
        <v>13</v>
      </c>
      <c r="B14" t="str">
        <f t="shared" si="2"/>
        <v>Produto X13</v>
      </c>
      <c r="C14">
        <f t="shared" si="3"/>
        <v>13</v>
      </c>
      <c r="D14">
        <f t="shared" si="4"/>
        <v>1299922244</v>
      </c>
      <c r="E14">
        <f t="shared" si="5"/>
        <v>49.89</v>
      </c>
      <c r="F14">
        <f t="shared" si="6"/>
        <v>35</v>
      </c>
      <c r="G14" t="str">
        <f t="shared" si="7"/>
        <v>Produto X35</v>
      </c>
      <c r="K14" s="2" t="str">
        <f>REPT("0",Layout!$D$2-LEN('Gerador de Texto'!A14))&amp;A14</f>
        <v>013</v>
      </c>
      <c r="L14" s="2" t="str">
        <f>REPT(" ",Layout!$D$3-LEN('Gerador de Texto'!B14))&amp;B14</f>
        <v xml:space="preserve">                   Produto X13</v>
      </c>
      <c r="M14" s="2" t="str">
        <f>REPT("0",Layout!$D$4-LEN(C14))&amp;C14</f>
        <v>00000013</v>
      </c>
      <c r="N14" s="2" t="str">
        <f>REPT("0",Layout!$D$5-LEN('Gerador de Texto'!D14))&amp;D14</f>
        <v>1299922244</v>
      </c>
      <c r="O14" s="2" t="str">
        <f>REPT("0",Layout!D$6-LEN('Gerador de Texto'!E14*100))&amp;E14*100</f>
        <v>000000000004989</v>
      </c>
      <c r="P14" s="2" t="str">
        <f>REPT("0",Layout!$D$7-LEN('Gerador de Texto'!F14))&amp;'Gerador de Texto'!F14</f>
        <v>00035</v>
      </c>
      <c r="Q14" s="2" t="str">
        <f>REPT(" ",Layout!$D$8-LEN('Gerador de Texto'!G14))&amp;'Gerador de Texto'!G14</f>
        <v xml:space="preserve">                   Produto X35</v>
      </c>
      <c r="R14" s="2"/>
      <c r="T14" s="3" t="str">
        <f t="shared" si="0"/>
        <v>013                   Produto X1300000013129992224400000000000498900035                   Produto X35</v>
      </c>
    </row>
    <row r="15" spans="1:20" x14ac:dyDescent="0.25">
      <c r="A15">
        <f t="shared" si="1"/>
        <v>14</v>
      </c>
      <c r="B15" t="str">
        <f t="shared" si="2"/>
        <v>Produto X14</v>
      </c>
      <c r="C15">
        <f t="shared" si="3"/>
        <v>14</v>
      </c>
      <c r="D15">
        <f t="shared" si="4"/>
        <v>1299922245</v>
      </c>
      <c r="E15">
        <f t="shared" si="5"/>
        <v>50.89</v>
      </c>
      <c r="F15">
        <f t="shared" si="6"/>
        <v>36</v>
      </c>
      <c r="G15" t="str">
        <f t="shared" si="7"/>
        <v>Produto X36</v>
      </c>
      <c r="K15" s="2" t="str">
        <f>REPT("0",Layout!$D$2-LEN('Gerador de Texto'!A15))&amp;A15</f>
        <v>014</v>
      </c>
      <c r="L15" s="2" t="str">
        <f>REPT(" ",Layout!$D$3-LEN('Gerador de Texto'!B15))&amp;B15</f>
        <v xml:space="preserve">                   Produto X14</v>
      </c>
      <c r="M15" s="2" t="str">
        <f>REPT("0",Layout!$D$4-LEN(C15))&amp;C15</f>
        <v>00000014</v>
      </c>
      <c r="N15" s="2" t="str">
        <f>REPT("0",Layout!$D$5-LEN('Gerador de Texto'!D15))&amp;D15</f>
        <v>1299922245</v>
      </c>
      <c r="O15" s="2" t="str">
        <f>REPT("0",Layout!D$6-LEN('Gerador de Texto'!E15*100))&amp;E15*100</f>
        <v>000000000005089</v>
      </c>
      <c r="P15" s="2" t="str">
        <f>REPT("0",Layout!$D$7-LEN('Gerador de Texto'!F15))&amp;'Gerador de Texto'!F15</f>
        <v>00036</v>
      </c>
      <c r="Q15" s="2" t="str">
        <f>REPT(" ",Layout!$D$8-LEN('Gerador de Texto'!G15))&amp;'Gerador de Texto'!G15</f>
        <v xml:space="preserve">                   Produto X36</v>
      </c>
      <c r="R15" s="2"/>
      <c r="T15" s="3" t="str">
        <f t="shared" si="0"/>
        <v>014                   Produto X1400000014129992224500000000000508900036                   Produto X36</v>
      </c>
    </row>
    <row r="16" spans="1:20" x14ac:dyDescent="0.25">
      <c r="A16">
        <f t="shared" si="1"/>
        <v>15</v>
      </c>
      <c r="B16" t="str">
        <f t="shared" si="2"/>
        <v>Produto X15</v>
      </c>
      <c r="C16">
        <f t="shared" si="3"/>
        <v>15</v>
      </c>
      <c r="D16">
        <f t="shared" si="4"/>
        <v>1299922246</v>
      </c>
      <c r="E16">
        <f t="shared" si="5"/>
        <v>51.89</v>
      </c>
      <c r="F16">
        <f t="shared" si="6"/>
        <v>37</v>
      </c>
      <c r="G16" t="str">
        <f t="shared" si="7"/>
        <v>Produto X37</v>
      </c>
      <c r="K16" s="2" t="str">
        <f>REPT("0",Layout!$D$2-LEN('Gerador de Texto'!A16))&amp;A16</f>
        <v>015</v>
      </c>
      <c r="L16" s="2" t="str">
        <f>REPT(" ",Layout!$D$3-LEN('Gerador de Texto'!B16))&amp;B16</f>
        <v xml:space="preserve">                   Produto X15</v>
      </c>
      <c r="M16" s="2" t="str">
        <f>REPT("0",Layout!$D$4-LEN(C16))&amp;C16</f>
        <v>00000015</v>
      </c>
      <c r="N16" s="2" t="str">
        <f>REPT("0",Layout!$D$5-LEN('Gerador de Texto'!D16))&amp;D16</f>
        <v>1299922246</v>
      </c>
      <c r="O16" s="2" t="str">
        <f>REPT("0",Layout!D$6-LEN('Gerador de Texto'!E16*100))&amp;E16*100</f>
        <v>000000000005189</v>
      </c>
      <c r="P16" s="2" t="str">
        <f>REPT("0",Layout!$D$7-LEN('Gerador de Texto'!F16))&amp;'Gerador de Texto'!F16</f>
        <v>00037</v>
      </c>
      <c r="Q16" s="2" t="str">
        <f>REPT(" ",Layout!$D$8-LEN('Gerador de Texto'!G16))&amp;'Gerador de Texto'!G16</f>
        <v xml:space="preserve">                   Produto X37</v>
      </c>
      <c r="R16" s="2"/>
      <c r="T16" s="3" t="str">
        <f t="shared" si="0"/>
        <v>015                   Produto X1500000015129992224600000000000518900037                   Produto X37</v>
      </c>
    </row>
    <row r="17" spans="1:20" x14ac:dyDescent="0.25">
      <c r="A17">
        <f t="shared" si="1"/>
        <v>16</v>
      </c>
      <c r="B17" t="str">
        <f t="shared" si="2"/>
        <v>Produto X16</v>
      </c>
      <c r="C17">
        <f t="shared" si="3"/>
        <v>16</v>
      </c>
      <c r="D17">
        <f t="shared" si="4"/>
        <v>1299922247</v>
      </c>
      <c r="E17">
        <f t="shared" si="5"/>
        <v>52.89</v>
      </c>
      <c r="F17">
        <f t="shared" si="6"/>
        <v>38</v>
      </c>
      <c r="G17" t="str">
        <f t="shared" si="7"/>
        <v>Produto X38</v>
      </c>
      <c r="K17" s="2" t="str">
        <f>REPT("0",Layout!$D$2-LEN('Gerador de Texto'!A17))&amp;A17</f>
        <v>016</v>
      </c>
      <c r="L17" s="2" t="str">
        <f>REPT(" ",Layout!$D$3-LEN('Gerador de Texto'!B17))&amp;B17</f>
        <v xml:space="preserve">                   Produto X16</v>
      </c>
      <c r="M17" s="2" t="str">
        <f>REPT("0",Layout!$D$4-LEN(C17))&amp;C17</f>
        <v>00000016</v>
      </c>
      <c r="N17" s="2" t="str">
        <f>REPT("0",Layout!$D$5-LEN('Gerador de Texto'!D17))&amp;D17</f>
        <v>1299922247</v>
      </c>
      <c r="O17" s="2" t="str">
        <f>REPT("0",Layout!D$6-LEN('Gerador de Texto'!E17*100))&amp;E17*100</f>
        <v>000000000005289</v>
      </c>
      <c r="P17" s="2" t="str">
        <f>REPT("0",Layout!$D$7-LEN('Gerador de Texto'!F17))&amp;'Gerador de Texto'!F17</f>
        <v>00038</v>
      </c>
      <c r="Q17" s="2" t="str">
        <f>REPT(" ",Layout!$D$8-LEN('Gerador de Texto'!G17))&amp;'Gerador de Texto'!G17</f>
        <v xml:space="preserve">                   Produto X38</v>
      </c>
      <c r="R17" s="2"/>
      <c r="T17" s="3" t="str">
        <f t="shared" si="0"/>
        <v>016                   Produto X1600000016129992224700000000000528900038                   Produto X38</v>
      </c>
    </row>
    <row r="18" spans="1:20" x14ac:dyDescent="0.25">
      <c r="A18">
        <f t="shared" si="1"/>
        <v>17</v>
      </c>
      <c r="B18" t="str">
        <f t="shared" si="2"/>
        <v>Produto X17</v>
      </c>
      <c r="C18">
        <f t="shared" si="3"/>
        <v>17</v>
      </c>
      <c r="D18">
        <f t="shared" si="4"/>
        <v>1299922248</v>
      </c>
      <c r="E18">
        <f t="shared" si="5"/>
        <v>53.89</v>
      </c>
      <c r="F18">
        <f t="shared" si="6"/>
        <v>39</v>
      </c>
      <c r="G18" t="str">
        <f t="shared" si="7"/>
        <v>Produto X39</v>
      </c>
      <c r="K18" s="2" t="str">
        <f>REPT("0",Layout!$D$2-LEN('Gerador de Texto'!A18))&amp;A18</f>
        <v>017</v>
      </c>
      <c r="L18" s="2" t="str">
        <f>REPT(" ",Layout!$D$3-LEN('Gerador de Texto'!B18))&amp;B18</f>
        <v xml:space="preserve">                   Produto X17</v>
      </c>
      <c r="M18" s="2" t="str">
        <f>REPT("0",Layout!$D$4-LEN(C18))&amp;C18</f>
        <v>00000017</v>
      </c>
      <c r="N18" s="2" t="str">
        <f>REPT("0",Layout!$D$5-LEN('Gerador de Texto'!D18))&amp;D18</f>
        <v>1299922248</v>
      </c>
      <c r="O18" s="2" t="str">
        <f>REPT("0",Layout!D$6-LEN('Gerador de Texto'!E18*100))&amp;E18*100</f>
        <v>000000000005389</v>
      </c>
      <c r="P18" s="2" t="str">
        <f>REPT("0",Layout!$D$7-LEN('Gerador de Texto'!F18))&amp;'Gerador de Texto'!F18</f>
        <v>00039</v>
      </c>
      <c r="Q18" s="2" t="str">
        <f>REPT(" ",Layout!$D$8-LEN('Gerador de Texto'!G18))&amp;'Gerador de Texto'!G18</f>
        <v xml:space="preserve">                   Produto X39</v>
      </c>
      <c r="R18" s="2"/>
      <c r="T18" s="3" t="str">
        <f t="shared" si="0"/>
        <v>017                   Produto X1700000017129992224800000000000538900039                   Produto X39</v>
      </c>
    </row>
    <row r="19" spans="1:20" x14ac:dyDescent="0.25">
      <c r="A19">
        <f>A18+1</f>
        <v>18</v>
      </c>
      <c r="B19" t="str">
        <f>"Produto X" &amp; A19</f>
        <v>Produto X18</v>
      </c>
      <c r="C19">
        <f>C18+1</f>
        <v>18</v>
      </c>
      <c r="D19">
        <f>D18+1</f>
        <v>1299922249</v>
      </c>
      <c r="E19">
        <f>E18+1</f>
        <v>54.89</v>
      </c>
      <c r="F19">
        <f>F18+1</f>
        <v>40</v>
      </c>
      <c r="G19" t="str">
        <f>"Produto X"&amp;F19</f>
        <v>Produto X40</v>
      </c>
      <c r="K19" s="2" t="str">
        <f>REPT("0",Layout!$D$2-LEN('Gerador de Texto'!A19))&amp;A19</f>
        <v>018</v>
      </c>
      <c r="L19" s="2" t="str">
        <f>REPT(" ",Layout!$D$3-LEN('Gerador de Texto'!B19))&amp;B19</f>
        <v xml:space="preserve">                   Produto X18</v>
      </c>
      <c r="M19" s="2" t="str">
        <f>REPT("0",Layout!$D$4-LEN(C19))&amp;C19</f>
        <v>00000018</v>
      </c>
      <c r="N19" s="2" t="str">
        <f>REPT("0",Layout!$D$5-LEN('Gerador de Texto'!D19))&amp;D19</f>
        <v>1299922249</v>
      </c>
      <c r="O19" s="2" t="str">
        <f>REPT("0",Layout!D$6-LEN('Gerador de Texto'!E19*100))&amp;E19*100</f>
        <v>000000000005489</v>
      </c>
      <c r="P19" s="2" t="str">
        <f>REPT("0",Layout!$D$7-LEN('Gerador de Texto'!F19))&amp;'Gerador de Texto'!F19</f>
        <v>00040</v>
      </c>
      <c r="Q19" s="2" t="str">
        <f>REPT(" ",Layout!$D$8-LEN('Gerador de Texto'!G19))&amp;'Gerador de Texto'!G19</f>
        <v xml:space="preserve">                   Produto X40</v>
      </c>
      <c r="R19" s="2"/>
      <c r="T19" s="3" t="str">
        <f t="shared" si="0"/>
        <v>018                   Produto X1800000018129992224900000000000548900040                   Produto X40</v>
      </c>
    </row>
    <row r="20" spans="1:20" x14ac:dyDescent="0.25">
      <c r="A20">
        <f>A19+1</f>
        <v>19</v>
      </c>
      <c r="B20" t="str">
        <f>"Produto X" &amp; A20</f>
        <v>Produto X19</v>
      </c>
      <c r="C20">
        <f>C19+1</f>
        <v>19</v>
      </c>
      <c r="D20">
        <f>D19+1</f>
        <v>1299922250</v>
      </c>
      <c r="E20">
        <f>E19+1</f>
        <v>55.89</v>
      </c>
      <c r="F20">
        <f>F19+1</f>
        <v>41</v>
      </c>
      <c r="G20" t="str">
        <f>"Produto X"&amp;F20</f>
        <v>Produto X41</v>
      </c>
      <c r="K20" s="2" t="str">
        <f>REPT("0",Layout!$D$2-LEN('Gerador de Texto'!A20))&amp;A20</f>
        <v>019</v>
      </c>
      <c r="L20" s="2" t="str">
        <f>REPT(" ",Layout!$D$3-LEN('Gerador de Texto'!B20))&amp;B20</f>
        <v xml:space="preserve">                   Produto X19</v>
      </c>
      <c r="M20" s="2" t="str">
        <f>REPT("0",Layout!$D$4-LEN(C20))&amp;C20</f>
        <v>00000019</v>
      </c>
      <c r="N20" s="2" t="str">
        <f>REPT("0",Layout!$D$5-LEN('Gerador de Texto'!D20))&amp;D20</f>
        <v>1299922250</v>
      </c>
      <c r="O20" s="2" t="str">
        <f>REPT("0",Layout!D$6-LEN('Gerador de Texto'!E20*100))&amp;E20*100</f>
        <v>000000000005589</v>
      </c>
      <c r="P20" s="2" t="str">
        <f>REPT("0",Layout!$D$7-LEN('Gerador de Texto'!F20))&amp;'Gerador de Texto'!F20</f>
        <v>00041</v>
      </c>
      <c r="Q20" s="2" t="str">
        <f>REPT(" ",Layout!$D$8-LEN('Gerador de Texto'!G20))&amp;'Gerador de Texto'!G20</f>
        <v xml:space="preserve">                   Produto X41</v>
      </c>
      <c r="R20" s="2"/>
      <c r="T20" s="3" t="str">
        <f t="shared" si="0"/>
        <v>019                   Produto X1900000019129992225000000000000558900041                   Produto X41</v>
      </c>
    </row>
    <row r="21" spans="1:20" x14ac:dyDescent="0.25">
      <c r="A21">
        <f t="shared" ref="A21" si="8">A20+1</f>
        <v>20</v>
      </c>
      <c r="B21" t="str">
        <f t="shared" ref="B21" si="9">"Produto X" &amp; A21</f>
        <v>Produto X20</v>
      </c>
      <c r="C21">
        <f t="shared" ref="C21" si="10">C20+1</f>
        <v>20</v>
      </c>
      <c r="D21">
        <f t="shared" ref="D21" si="11">D20+1</f>
        <v>1299922251</v>
      </c>
      <c r="E21">
        <f t="shared" ref="E21" si="12">E20+1</f>
        <v>56.89</v>
      </c>
      <c r="F21">
        <f t="shared" ref="F21" si="13">F20+1</f>
        <v>42</v>
      </c>
      <c r="G21" t="str">
        <f t="shared" ref="G21" si="14">"Produto X"&amp;F21</f>
        <v>Produto X42</v>
      </c>
      <c r="K21" s="2" t="str">
        <f>REPT("0",Layout!$D$2-LEN('Gerador de Texto'!A21))&amp;A21</f>
        <v>020</v>
      </c>
      <c r="L21" s="2" t="str">
        <f>REPT(" ",Layout!$D$3-LEN('Gerador de Texto'!B21))&amp;B21</f>
        <v xml:space="preserve">                   Produto X20</v>
      </c>
      <c r="M21" s="2" t="str">
        <f>REPT("0",Layout!$D$4-LEN(C21))&amp;C21</f>
        <v>00000020</v>
      </c>
      <c r="N21" s="2" t="str">
        <f>REPT("0",Layout!$D$5-LEN('Gerador de Texto'!D21))&amp;D21</f>
        <v>1299922251</v>
      </c>
      <c r="O21" s="2" t="str">
        <f>REPT("0",Layout!D$6-LEN('Gerador de Texto'!E21*100))&amp;E21*100</f>
        <v>000000000005689</v>
      </c>
      <c r="P21" s="2" t="str">
        <f>REPT("0",Layout!$D$7-LEN('Gerador de Texto'!F21))&amp;'Gerador de Texto'!F21</f>
        <v>00042</v>
      </c>
      <c r="Q21" s="2" t="str">
        <f>REPT(" ",Layout!$D$8-LEN('Gerador de Texto'!G21))&amp;'Gerador de Texto'!G21</f>
        <v xml:space="preserve">                   Produto X42</v>
      </c>
      <c r="R21" s="2"/>
      <c r="T21" s="3" t="str">
        <f t="shared" si="0"/>
        <v>020                   Produto X2000000020129992225100000000000568900042                   Produto X42</v>
      </c>
    </row>
    <row r="22" spans="1:20" x14ac:dyDescent="0.25">
      <c r="A22">
        <f>A21+1</f>
        <v>21</v>
      </c>
      <c r="B22" t="str">
        <f>"Produto X" &amp; A22</f>
        <v>Produto X21</v>
      </c>
      <c r="C22">
        <f>C21+1</f>
        <v>21</v>
      </c>
      <c r="D22">
        <f>D21+1</f>
        <v>1299922252</v>
      </c>
      <c r="E22">
        <f>E21+1</f>
        <v>57.89</v>
      </c>
      <c r="F22">
        <f>F21+1</f>
        <v>43</v>
      </c>
      <c r="G22" t="str">
        <f>"Produto X"&amp;F22</f>
        <v>Produto X43</v>
      </c>
      <c r="K22" s="2" t="str">
        <f>REPT("0",Layout!$D$2-LEN('Gerador de Texto'!A22))&amp;A22</f>
        <v>021</v>
      </c>
      <c r="L22" s="2" t="str">
        <f>REPT(" ",Layout!$D$3-LEN('Gerador de Texto'!B22))&amp;B22</f>
        <v xml:space="preserve">                   Produto X21</v>
      </c>
      <c r="M22" s="2" t="str">
        <f>REPT("0",Layout!$D$4-LEN(C22))&amp;C22</f>
        <v>00000021</v>
      </c>
      <c r="N22" s="2" t="str">
        <f>REPT("0",Layout!$D$5-LEN('Gerador de Texto'!D22))&amp;D22</f>
        <v>1299922252</v>
      </c>
      <c r="O22" s="2" t="str">
        <f>REPT("0",Layout!D$6-LEN('Gerador de Texto'!E22*100))&amp;E22*100</f>
        <v>000000000005789</v>
      </c>
      <c r="P22" s="2" t="str">
        <f>REPT("0",Layout!$D$7-LEN('Gerador de Texto'!F22))&amp;'Gerador de Texto'!F22</f>
        <v>00043</v>
      </c>
      <c r="Q22" s="2" t="str">
        <f>REPT(" ",Layout!$D$8-LEN('Gerador de Texto'!G22))&amp;'Gerador de Texto'!G22</f>
        <v xml:space="preserve">                   Produto X43</v>
      </c>
      <c r="R22" s="2"/>
      <c r="T22" s="3" t="str">
        <f t="shared" si="0"/>
        <v>021                   Produto X2100000021129992225200000000000578900043                   Produto X43</v>
      </c>
    </row>
    <row r="23" spans="1:20" x14ac:dyDescent="0.25">
      <c r="K23" s="2"/>
      <c r="L23" s="2"/>
      <c r="M23" s="2"/>
      <c r="N23" s="2"/>
      <c r="O23" s="2"/>
      <c r="P23" s="2"/>
      <c r="Q23" s="2"/>
      <c r="R23" s="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Layout</vt:lpstr>
      <vt:lpstr>Gerador de Texto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2020-07-03T14:34:04Z</dcterms:created>
  <dcterms:modified xsi:type="dcterms:W3CDTF">2020-07-03T16:34:40Z</dcterms:modified>
</cp:coreProperties>
</file>